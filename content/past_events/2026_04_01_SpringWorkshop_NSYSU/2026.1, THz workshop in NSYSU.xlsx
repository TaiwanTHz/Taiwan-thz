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<sst xmlns="http://schemas.openxmlformats.org/spreadsheetml/2006/main" count="91" uniqueCount="70">
  <si>
    <t>duration</t>
  </si>
  <si>
    <t>Tentative Program – Thursday, 2026/04/30</t>
  </si>
  <si>
    <t>Name</t>
  </si>
  <si>
    <t>Title</t>
  </si>
  <si>
    <t>Duration</t>
  </si>
  <si>
    <t>Speaker</t>
  </si>
  <si>
    <t>Affiliation</t>
  </si>
  <si>
    <t>Rayko I. Stantchev</t>
  </si>
  <si>
    <t>Opening remarks</t>
  </si>
  <si>
    <t>National Sun Yat-sen University, Kaoshiung, Taiwan</t>
  </si>
  <si>
    <t>Towards all fiber coupled THz spectroscopic imaging system for in-vivo skin meausurement</t>
  </si>
  <si>
    <t>Shang-Hua Yang</t>
  </si>
  <si>
    <t>THz Compressive Optical-Digital Neural Network</t>
  </si>
  <si>
    <t>National Tsing Hua University, Hsinchu, Taiwan</t>
  </si>
  <si>
    <t>Break</t>
  </si>
  <si>
    <t>Hideaki Kitahara</t>
  </si>
  <si>
    <t>Measurement of Dielectric Loss Tangent for Low Loss Plastics by Terahertz Time-domain Spectroscopy II</t>
  </si>
  <si>
    <t>University of Fukui, Japan</t>
  </si>
  <si>
    <t>Yu-Han Hung</t>
  </si>
  <si>
    <t>Cascaded-Injection-Locked Optical Frequency Combs for DAS Applications in ISAC Systems</t>
  </si>
  <si>
    <t>Lunch</t>
  </si>
  <si>
    <t>Masafumi Fukunari</t>
  </si>
  <si>
    <t>Development of High-Frequency Gyrotrons for Biological Exposure Applications and Design of a 750 GHz Gyrotron</t>
  </si>
  <si>
    <t>Ming Chang Chou</t>
  </si>
  <si>
    <t>NSRRC Superradiant THz Free Electron Lasers Developed for User Applications</t>
  </si>
  <si>
    <t>National Synchrotron Radiation Research Center</t>
  </si>
  <si>
    <t>Kenneth Alaba</t>
  </si>
  <si>
    <t>Generation and characterization of a THz vortex beam using a 3D-printed spiral phase plate and aperture-scanning time-domain spectroscopy</t>
  </si>
  <si>
    <t>National Institute of Physics, University of the Philippines, Diliman</t>
  </si>
  <si>
    <t>Chan-Shan Yang</t>
  </si>
  <si>
    <t>Cancelled :/</t>
  </si>
  <si>
    <t>National Taiwan Normal University, Taipei, Taiwan</t>
  </si>
  <si>
    <t>Lab tour</t>
  </si>
  <si>
    <t>Travel to Banquet venue</t>
  </si>
  <si>
    <t>Banquet is at 18:00</t>
  </si>
  <si>
    <t>Banquet at 上菜 片皮鴨專賣店 高雄夢時代店6樓</t>
  </si>
  <si>
    <t>https://maps.app.goo.gl/ixygX8kxdkeicqhb8</t>
  </si>
  <si>
    <t>Tentative Program – Friday, 2026/05/01</t>
  </si>
  <si>
    <t>Koushik Mondal</t>
  </si>
  <si>
    <t>Investigation on the Ultrafast Photocurrent Generation in Antimony Telluride (Sb2Te3) Nanowire using THz Emission Spectroscopy</t>
  </si>
  <si>
    <t>National Yang Ming Chiao Tung University</t>
  </si>
  <si>
    <t>Kosuke Murate</t>
  </si>
  <si>
    <t>Terahertz Scanner System based on Parametric Wavelength Conversion</t>
  </si>
  <si>
    <t>Nagoya University, Japan</t>
  </si>
  <si>
    <t>Chih-Wei Luo</t>
  </si>
  <si>
    <t>Can the charge-density-wave materials generate THz waves?</t>
  </si>
  <si>
    <t>National Yang Ming Chiao Tung University, Taiwan</t>
  </si>
  <si>
    <t>Sheng-Kwang Hwang</t>
  </si>
  <si>
    <t>Photonic Terahertz-Wave Generation with High Spectral Purity and Wide Frequency Tunability using Two Mutually Injected Semiconductor Lasers</t>
  </si>
  <si>
    <t>National Cheng Kung University, Tainan, Taiwan</t>
  </si>
  <si>
    <t>Masahiko Tani</t>
  </si>
  <si>
    <t>Dual EO sampling for sigle-shots THz pulse detection</t>
  </si>
  <si>
    <t>Yuya Ishikawa</t>
  </si>
  <si>
    <t>Diabolo type micro resonator properties for electron spin resonance</t>
  </si>
  <si>
    <t>Break, group photo</t>
  </si>
  <si>
    <t>POSTER Session</t>
  </si>
  <si>
    <t xml:space="preserve">POSTER Session </t>
  </si>
  <si>
    <t>Chien-Ming Tu</t>
  </si>
  <si>
    <t xml:space="preserve">Photon Drag–Driven Terahertz Emission in Novel Materials </t>
  </si>
  <si>
    <t>Cheng-Siang Le</t>
  </si>
  <si>
    <t>GeSn Terahertz Photomixer</t>
  </si>
  <si>
    <t>Xuan-Wei Miao</t>
  </si>
  <si>
    <t>THz ISAC for Gbps Communication and Precision Sensing with Single-Waveform</t>
  </si>
  <si>
    <t>Closing remarks</t>
  </si>
  <si>
    <t>END!!!</t>
  </si>
  <si>
    <t>90?</t>
  </si>
  <si>
    <t>Self-paid Dinner, Qian Jiu Re Chao Izakaya Restaurant 淺酒熱炒居酒屋</t>
  </si>
  <si>
    <t>https://maps.app.goo.gl/JCuM24dV5VqckhN59</t>
  </si>
  <si>
    <t>Not sure</t>
  </si>
  <si>
    <t>Karaoke, or bar?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</si>
</sst>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-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376092"/>
      <name val="&quot;Calibri&quot;"/>
    </font>
    <font>
      <sz val="14.0"/>
      <color theme="1"/>
      <name val="Arial"/>
      <scheme val="minor"/>
    </font>
    <font>
      <b/>
      <sz val="11.0"/>
      <color rgb="FFFFFFFF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b/>
      <u/>
      <sz val="11.0"/>
      <color rgb="FF0000FF"/>
      <name val="Calibri"/>
    </font>
    <font>
      <sz val="11.0"/>
      <color theme="1"/>
      <name val="Calibri"/>
    </font>
    <font>
      <sz val="12.0"/>
      <color theme="1"/>
      <name val="Arial"/>
      <scheme val="minor"/>
    </font>
    <font>
      <u/>
      <sz val="14.0"/>
      <color rgb="FF0000FF"/>
    </font>
    <font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5F497A"/>
        <bgColor rgb="FF5F497A"/>
      </patternFill>
    </fill>
    <fill>
      <patternFill patternType="solid">
        <fgColor rgb="FFCCC0D9"/>
        <bgColor rgb="FFCCC0D9"/>
      </patternFill>
    </fill>
    <fill>
      <patternFill patternType="solid">
        <fgColor rgb="FFE2EFDA"/>
        <bgColor rgb="FFE2EFDA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center"/>
    </xf>
    <xf borderId="0" fillId="0" fontId="1" numFmtId="0" xfId="0" applyFont="1"/>
    <xf borderId="1" fillId="2" fontId="4" numFmtId="164" xfId="0" applyAlignment="1" applyBorder="1" applyFill="1" applyFont="1" applyNumberFormat="1">
      <alignment horizontal="center" readingOrder="0" vertical="top"/>
    </xf>
    <xf borderId="2" fillId="0" fontId="5" numFmtId="0" xfId="0" applyBorder="1" applyFont="1"/>
    <xf borderId="3" fillId="2" fontId="4" numFmtId="0" xfId="0" applyAlignment="1" applyBorder="1" applyFont="1">
      <alignment horizontal="center" readingOrder="0" vertical="top"/>
    </xf>
    <xf borderId="4" fillId="0" fontId="6" numFmtId="20" xfId="0" applyAlignment="1" applyBorder="1" applyFont="1" applyNumberFormat="1">
      <alignment horizontal="center" readingOrder="0" vertical="center"/>
    </xf>
    <xf borderId="0" fillId="3" fontId="7" numFmtId="0" xfId="0" applyAlignment="1" applyFill="1" applyFont="1">
      <alignment horizontal="center" readingOrder="0"/>
    </xf>
    <xf borderId="0" fillId="3" fontId="6" numFmtId="0" xfId="0" applyAlignment="1" applyFont="1">
      <alignment horizontal="center" readingOrder="0" shrinkToFit="0" wrapText="1"/>
    </xf>
    <xf borderId="0" fillId="4" fontId="7" numFmtId="0" xfId="0" applyAlignment="1" applyFill="1" applyFont="1">
      <alignment horizontal="center" readingOrder="0"/>
    </xf>
    <xf borderId="0" fillId="4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5" fontId="7" numFmtId="0" xfId="0" applyAlignment="1" applyFill="1" applyFont="1">
      <alignment horizontal="center" readingOrder="0" vertical="center"/>
    </xf>
    <xf borderId="0" fillId="6" fontId="7" numFmtId="0" xfId="0" applyAlignment="1" applyFill="1" applyFont="1">
      <alignment horizontal="center" readingOrder="0" vertical="center"/>
    </xf>
    <xf borderId="0" fillId="6" fontId="8" numFmtId="0" xfId="0" applyAlignment="1" applyFont="1">
      <alignment horizontal="center" readingOrder="0" vertical="center"/>
    </xf>
    <xf borderId="0" fillId="0" fontId="3" numFmtId="21" xfId="0" applyAlignment="1" applyFont="1" applyNumberFormat="1">
      <alignment readingOrder="0" vertical="center"/>
    </xf>
    <xf borderId="0" fillId="7" fontId="7" numFmtId="0" xfId="0" applyAlignment="1" applyFill="1" applyFont="1">
      <alignment horizontal="center" readingOrder="0"/>
    </xf>
    <xf borderId="0" fillId="3" fontId="9" numFmtId="0" xfId="0" applyAlignment="1" applyFont="1">
      <alignment horizontal="center" readingOrder="0" shrinkToFit="0" vertical="bottom" wrapText="1"/>
    </xf>
    <xf borderId="0" fillId="5" fontId="7" numFmtId="0" xfId="0" applyAlignment="1" applyFont="1">
      <alignment horizontal="center" readingOrder="0" shrinkToFit="0" vertical="center" wrapText="1"/>
    </xf>
    <xf borderId="0" fillId="0" fontId="3" numFmtId="20" xfId="0" applyAlignment="1" applyFont="1" applyNumberFormat="1">
      <alignment readingOrder="0" vertical="center"/>
    </xf>
    <xf borderId="0" fillId="6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3" numFmtId="46" xfId="0" applyAlignment="1" applyFont="1" applyNumberFormat="1">
      <alignment readingOrder="0" vertical="center"/>
    </xf>
    <xf borderId="0" fillId="6" fontId="1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ixygX8kxdkeicqhb8" TargetMode="External"/><Relationship Id="rId2" Type="http://schemas.openxmlformats.org/officeDocument/2006/relationships/hyperlink" Target="https://maps.app.goo.gl/JCuM24dV5VqckhN59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38"/>
    <col customWidth="1" min="3" max="3" width="6.63"/>
    <col customWidth="1" min="4" max="4" width="18.88"/>
    <col customWidth="1" min="5" max="5" width="56.88"/>
    <col customWidth="1" min="6" max="6" width="31.88"/>
  </cols>
  <sheetData>
    <row r="1">
      <c r="A1" s="2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5">
        <v>46142.0</v>
      </c>
      <c r="B2" s="6"/>
      <c r="C2" s="7" t="s">
        <v>4</v>
      </c>
      <c r="D2" s="7" t="s">
        <v>5</v>
      </c>
      <c r="E2" s="7" t="s">
        <v>3</v>
      </c>
      <c r="F2" s="7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9.25" customHeight="1">
      <c r="A3" s="8">
        <v>0.4236111111111111</v>
      </c>
      <c r="B3" s="8">
        <f t="shared" ref="B3:B18" si="1">A3+C3/(24*60)</f>
        <v>0.4305555556</v>
      </c>
      <c r="C3" s="9">
        <v>10.0</v>
      </c>
      <c r="D3" s="10" t="s">
        <v>7</v>
      </c>
      <c r="E3" s="10" t="s">
        <v>8</v>
      </c>
      <c r="F3" s="10" t="s">
        <v>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8">
        <f t="shared" ref="A4:A18" si="2">B3</f>
        <v>0.4305555556</v>
      </c>
      <c r="B4" s="8">
        <f t="shared" si="1"/>
        <v>0.4513888889</v>
      </c>
      <c r="C4" s="9">
        <v>30.0</v>
      </c>
      <c r="D4" s="10" t="s">
        <v>7</v>
      </c>
      <c r="E4" s="10" t="s">
        <v>10</v>
      </c>
      <c r="F4" s="10" t="s">
        <v>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8">
        <f t="shared" si="2"/>
        <v>0.4513888889</v>
      </c>
      <c r="B5" s="8">
        <f t="shared" si="1"/>
        <v>0.4722222222</v>
      </c>
      <c r="C5" s="9">
        <v>30.0</v>
      </c>
      <c r="D5" s="10" t="s">
        <v>11</v>
      </c>
      <c r="E5" s="10" t="s">
        <v>12</v>
      </c>
      <c r="F5" s="10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8">
        <f t="shared" si="2"/>
        <v>0.4722222222</v>
      </c>
      <c r="B6" s="8">
        <f t="shared" si="1"/>
        <v>0.4791666667</v>
      </c>
      <c r="C6" s="11">
        <v>10.0</v>
      </c>
      <c r="D6" s="12"/>
      <c r="E6" s="12" t="s">
        <v>14</v>
      </c>
      <c r="F6" s="1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8">
        <f t="shared" si="2"/>
        <v>0.4791666667</v>
      </c>
      <c r="B7" s="8">
        <f t="shared" si="1"/>
        <v>0.5</v>
      </c>
      <c r="C7" s="9">
        <v>30.0</v>
      </c>
      <c r="D7" s="10" t="s">
        <v>15</v>
      </c>
      <c r="E7" s="10" t="s">
        <v>16</v>
      </c>
      <c r="F7" s="10" t="s">
        <v>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8">
        <f t="shared" si="2"/>
        <v>0.5</v>
      </c>
      <c r="B8" s="8">
        <f t="shared" si="1"/>
        <v>0.5208333333</v>
      </c>
      <c r="C8" s="9">
        <v>30.0</v>
      </c>
      <c r="D8" s="10" t="s">
        <v>18</v>
      </c>
      <c r="E8" s="10" t="s">
        <v>19</v>
      </c>
      <c r="F8" s="10" t="s">
        <v>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8">
        <f t="shared" si="2"/>
        <v>0.5208333333</v>
      </c>
      <c r="B9" s="8">
        <f t="shared" si="1"/>
        <v>0.5625</v>
      </c>
      <c r="C9" s="11">
        <v>60.0</v>
      </c>
      <c r="D9" s="12"/>
      <c r="E9" s="12" t="s">
        <v>20</v>
      </c>
      <c r="F9" s="1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8">
        <f t="shared" si="2"/>
        <v>0.5625</v>
      </c>
      <c r="B10" s="8">
        <f t="shared" si="1"/>
        <v>0.5833333333</v>
      </c>
      <c r="C10" s="13">
        <v>30.0</v>
      </c>
      <c r="D10" s="14" t="s">
        <v>21</v>
      </c>
      <c r="E10" s="10" t="s">
        <v>22</v>
      </c>
      <c r="F10" s="10" t="s">
        <v>17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8">
        <f t="shared" si="2"/>
        <v>0.5833333333</v>
      </c>
      <c r="B11" s="8">
        <f t="shared" si="1"/>
        <v>0.6041666667</v>
      </c>
      <c r="C11" s="13">
        <v>30.0</v>
      </c>
      <c r="D11" s="10" t="s">
        <v>23</v>
      </c>
      <c r="E11" s="10" t="s">
        <v>24</v>
      </c>
      <c r="F11" s="10" t="s">
        <v>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8">
        <f t="shared" si="2"/>
        <v>0.6041666667</v>
      </c>
      <c r="B12" s="8">
        <f t="shared" si="1"/>
        <v>0.6145833333</v>
      </c>
      <c r="C12" s="11">
        <v>15.0</v>
      </c>
      <c r="D12" s="11"/>
      <c r="E12" s="11" t="s">
        <v>14</v>
      </c>
      <c r="F12" s="1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8">
        <f t="shared" si="2"/>
        <v>0.6145833333</v>
      </c>
      <c r="B13" s="8">
        <f t="shared" si="1"/>
        <v>0.6354166667</v>
      </c>
      <c r="C13" s="13">
        <v>30.0</v>
      </c>
      <c r="D13" s="10" t="s">
        <v>26</v>
      </c>
      <c r="E13" s="10" t="s">
        <v>27</v>
      </c>
      <c r="F13" s="10" t="s">
        <v>28</v>
      </c>
      <c r="G13" s="3"/>
      <c r="H13" s="3"/>
      <c r="I13" s="3"/>
      <c r="J13" s="3"/>
      <c r="K13" s="3"/>
      <c r="L13" s="1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8">
        <f t="shared" si="2"/>
        <v>0.6354166667</v>
      </c>
      <c r="B14" s="8">
        <f t="shared" si="1"/>
        <v>0.6354166667</v>
      </c>
      <c r="C14" s="13">
        <v>0.0</v>
      </c>
      <c r="D14" s="10" t="s">
        <v>29</v>
      </c>
      <c r="E14" s="10" t="s">
        <v>30</v>
      </c>
      <c r="F14" s="10" t="s">
        <v>31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8">
        <f t="shared" si="2"/>
        <v>0.6354166667</v>
      </c>
      <c r="B15" s="8">
        <f t="shared" si="1"/>
        <v>0.6666666667</v>
      </c>
      <c r="C15" s="11">
        <v>45.0</v>
      </c>
      <c r="D15" s="12"/>
      <c r="E15" s="12" t="s">
        <v>14</v>
      </c>
      <c r="F15" s="1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8">
        <f t="shared" si="2"/>
        <v>0.6666666667</v>
      </c>
      <c r="B16" s="8">
        <f t="shared" si="1"/>
        <v>0.71875</v>
      </c>
      <c r="C16" s="16">
        <v>75.0</v>
      </c>
      <c r="D16" s="16" t="s">
        <v>32</v>
      </c>
      <c r="E16" s="16" t="s">
        <v>32</v>
      </c>
      <c r="F16" s="1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8">
        <f t="shared" si="2"/>
        <v>0.71875</v>
      </c>
      <c r="B17" s="8">
        <f t="shared" si="1"/>
        <v>0.7465277778</v>
      </c>
      <c r="C17" s="9">
        <v>40.0</v>
      </c>
      <c r="D17" s="17" t="s">
        <v>33</v>
      </c>
      <c r="E17" s="17" t="s">
        <v>33</v>
      </c>
      <c r="F17" s="1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8">
        <f t="shared" si="2"/>
        <v>0.7465277778</v>
      </c>
      <c r="B18" s="8">
        <f t="shared" si="1"/>
        <v>0.8090277778</v>
      </c>
      <c r="C18" s="9">
        <v>90.0</v>
      </c>
      <c r="D18" s="17" t="s">
        <v>34</v>
      </c>
      <c r="E18" s="17" t="s">
        <v>35</v>
      </c>
      <c r="F18" s="18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1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9"/>
      <c r="C20" s="20"/>
      <c r="D20" s="3"/>
      <c r="E20" s="3"/>
      <c r="F20" s="3"/>
      <c r="G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2" t="s">
        <v>37</v>
      </c>
      <c r="G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5">
        <v>46143.0</v>
      </c>
      <c r="B22" s="6"/>
      <c r="C22" s="7" t="s">
        <v>4</v>
      </c>
      <c r="D22" s="7" t="s">
        <v>5</v>
      </c>
      <c r="E22" s="7" t="s">
        <v>3</v>
      </c>
      <c r="F22" s="7" t="s">
        <v>6</v>
      </c>
      <c r="G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8">
        <v>0.4236111111111111</v>
      </c>
      <c r="B23" s="8">
        <f t="shared" ref="B23:B37" si="3">A23+C23/(24*60)</f>
        <v>0.4444444444</v>
      </c>
      <c r="C23" s="9">
        <v>30.0</v>
      </c>
      <c r="D23" s="10" t="s">
        <v>38</v>
      </c>
      <c r="E23" s="10" t="s">
        <v>39</v>
      </c>
      <c r="F23" s="10" t="s">
        <v>40</v>
      </c>
      <c r="G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8">
        <f t="shared" ref="A24:A37" si="4">B23</f>
        <v>0.4444444444</v>
      </c>
      <c r="B24" s="8">
        <f t="shared" si="3"/>
        <v>0.4652777778</v>
      </c>
      <c r="C24" s="9">
        <v>30.0</v>
      </c>
      <c r="D24" s="21" t="s">
        <v>41</v>
      </c>
      <c r="E24" s="21" t="s">
        <v>42</v>
      </c>
      <c r="F24" s="21" t="s">
        <v>43</v>
      </c>
      <c r="G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8">
        <f t="shared" si="4"/>
        <v>0.4652777778</v>
      </c>
      <c r="B25" s="8">
        <f t="shared" si="3"/>
        <v>0.4722222222</v>
      </c>
      <c r="C25" s="11">
        <v>10.0</v>
      </c>
      <c r="D25" s="12"/>
      <c r="E25" s="12" t="s">
        <v>14</v>
      </c>
      <c r="F25" s="12"/>
      <c r="G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8">
        <f t="shared" si="4"/>
        <v>0.4722222222</v>
      </c>
      <c r="B26" s="8">
        <f t="shared" si="3"/>
        <v>0.4930555556</v>
      </c>
      <c r="C26" s="9">
        <v>30.0</v>
      </c>
      <c r="D26" s="10" t="s">
        <v>44</v>
      </c>
      <c r="E26" s="10" t="s">
        <v>45</v>
      </c>
      <c r="F26" s="10" t="s">
        <v>46</v>
      </c>
      <c r="G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8">
        <f t="shared" si="4"/>
        <v>0.4930555556</v>
      </c>
      <c r="B27" s="8">
        <f t="shared" si="3"/>
        <v>0.5138888889</v>
      </c>
      <c r="C27" s="9">
        <v>30.0</v>
      </c>
      <c r="D27" s="10" t="s">
        <v>47</v>
      </c>
      <c r="E27" s="10" t="s">
        <v>48</v>
      </c>
      <c r="F27" s="10" t="s">
        <v>49</v>
      </c>
      <c r="G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8">
        <f t="shared" si="4"/>
        <v>0.5138888889</v>
      </c>
      <c r="B28" s="8">
        <f t="shared" si="3"/>
        <v>0.5590277778</v>
      </c>
      <c r="C28" s="11">
        <v>65.0</v>
      </c>
      <c r="D28" s="12"/>
      <c r="E28" s="12" t="s">
        <v>20</v>
      </c>
      <c r="F28" s="12"/>
      <c r="G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5.5" customHeight="1">
      <c r="A29" s="8">
        <f t="shared" si="4"/>
        <v>0.5590277778</v>
      </c>
      <c r="B29" s="8">
        <f t="shared" si="3"/>
        <v>0.5798611111</v>
      </c>
      <c r="C29" s="13">
        <v>30.0</v>
      </c>
      <c r="D29" s="14" t="s">
        <v>50</v>
      </c>
      <c r="E29" s="10" t="s">
        <v>51</v>
      </c>
      <c r="F29" s="10" t="s">
        <v>17</v>
      </c>
      <c r="G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7.0" customHeight="1">
      <c r="A30" s="8">
        <f t="shared" si="4"/>
        <v>0.5798611111</v>
      </c>
      <c r="B30" s="8">
        <f t="shared" si="3"/>
        <v>0.6006944444</v>
      </c>
      <c r="C30" s="13">
        <v>30.0</v>
      </c>
      <c r="D30" s="14" t="s">
        <v>52</v>
      </c>
      <c r="E30" s="10" t="s">
        <v>53</v>
      </c>
      <c r="F30" s="10" t="s">
        <v>17</v>
      </c>
      <c r="G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8">
        <f t="shared" si="4"/>
        <v>0.6006944444</v>
      </c>
      <c r="B31" s="8">
        <f t="shared" si="3"/>
        <v>0.6076388889</v>
      </c>
      <c r="C31" s="11">
        <v>10.0</v>
      </c>
      <c r="D31" s="12"/>
      <c r="E31" s="12" t="s">
        <v>54</v>
      </c>
      <c r="F31" s="12"/>
      <c r="G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8">
        <f t="shared" si="4"/>
        <v>0.6076388889</v>
      </c>
      <c r="B32" s="8">
        <f t="shared" si="3"/>
        <v>0.6527777778</v>
      </c>
      <c r="C32" s="16">
        <v>65.0</v>
      </c>
      <c r="D32" s="22" t="s">
        <v>55</v>
      </c>
      <c r="E32" s="22" t="s">
        <v>56</v>
      </c>
      <c r="F32" s="22"/>
      <c r="G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8">
        <f t="shared" si="4"/>
        <v>0.6527777778</v>
      </c>
      <c r="B33" s="8">
        <f t="shared" si="3"/>
        <v>0.6736111111</v>
      </c>
      <c r="C33" s="9">
        <v>30.0</v>
      </c>
      <c r="D33" s="10" t="s">
        <v>57</v>
      </c>
      <c r="E33" s="10" t="s">
        <v>58</v>
      </c>
      <c r="F33" s="10" t="s">
        <v>46</v>
      </c>
      <c r="G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8">
        <f t="shared" si="4"/>
        <v>0.6736111111</v>
      </c>
      <c r="B34" s="8">
        <f t="shared" si="3"/>
        <v>0.6875</v>
      </c>
      <c r="C34" s="13">
        <v>20.0</v>
      </c>
      <c r="D34" s="14" t="s">
        <v>59</v>
      </c>
      <c r="E34" s="10" t="s">
        <v>60</v>
      </c>
      <c r="F34" s="10" t="s">
        <v>13</v>
      </c>
      <c r="G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8">
        <f t="shared" si="4"/>
        <v>0.6875</v>
      </c>
      <c r="B35" s="8">
        <f t="shared" si="3"/>
        <v>0.7013888889</v>
      </c>
      <c r="C35" s="13">
        <v>20.0</v>
      </c>
      <c r="D35" s="14" t="s">
        <v>61</v>
      </c>
      <c r="E35" s="10" t="s">
        <v>62</v>
      </c>
      <c r="F35" s="10" t="s">
        <v>13</v>
      </c>
      <c r="G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8">
        <f t="shared" si="4"/>
        <v>0.7013888889</v>
      </c>
      <c r="B36" s="8">
        <f t="shared" si="3"/>
        <v>0.7083333333</v>
      </c>
      <c r="C36" s="13">
        <v>10.0</v>
      </c>
      <c r="D36" s="10" t="s">
        <v>7</v>
      </c>
      <c r="E36" s="14" t="s">
        <v>63</v>
      </c>
      <c r="F36" s="1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8">
        <f t="shared" si="4"/>
        <v>0.7083333333</v>
      </c>
      <c r="B37" s="8">
        <f t="shared" si="3"/>
        <v>0.71875</v>
      </c>
      <c r="C37" s="11">
        <v>15.0</v>
      </c>
      <c r="D37" s="12"/>
      <c r="E37" s="12" t="s">
        <v>64</v>
      </c>
      <c r="F37" s="12"/>
      <c r="G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33.0" customHeight="1">
      <c r="A39" s="23">
        <v>0.7916666666666666</v>
      </c>
      <c r="B39" s="3"/>
      <c r="C39" s="15" t="s">
        <v>65</v>
      </c>
      <c r="D39" s="3"/>
      <c r="E39" s="24" t="s">
        <v>66</v>
      </c>
      <c r="F39" s="25" t="s">
        <v>67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23">
        <v>0.8541666666666666</v>
      </c>
      <c r="B40" s="26">
        <v>1.0</v>
      </c>
      <c r="C40" s="15" t="s">
        <v>68</v>
      </c>
      <c r="D40" s="3"/>
      <c r="E40" s="27" t="s">
        <v>69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1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</sheetData>
  <mergeCells count="4">
    <mergeCell ref="A1:F1"/>
    <mergeCell ref="A2:B2"/>
    <mergeCell ref="A21:F21"/>
    <mergeCell ref="A22:B22"/>
  </mergeCells>
  <hyperlinks>
    <hyperlink r:id="rId1" ref="F18"/>
    <hyperlink r:id="rId2" ref="F3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</cols>
  <sheetData>
    <row r="2">
      <c r="B2" s="1" t="s">
        <v>0</v>
      </c>
      <c r="C2" s="1" t="s">
        <v>2</v>
      </c>
      <c r="D2" s="1" t="s">
        <v>3</v>
      </c>
    </row>
    <row r="3">
      <c r="B3" s="1">
        <v>10.0</v>
      </c>
      <c r="C3" s="4" t="str">
        <f>'Day 1'!D3</f>
        <v>Rayko I. Stantchev</v>
      </c>
      <c r="D3" s="4" t="str">
        <f>'Day 1'!E3</f>
        <v>Opening remarks</v>
      </c>
    </row>
    <row r="4">
      <c r="B4" s="1">
        <v>30.0</v>
      </c>
      <c r="C4" s="4" t="str">
        <f>'Day 1'!D4</f>
        <v>Rayko I. Stantchev</v>
      </c>
      <c r="D4" s="4" t="str">
        <f>'Day 1'!E4</f>
        <v>Towards all fiber coupled THz spectroscopic imaging system for in-vivo skin meausurement</v>
      </c>
    </row>
    <row r="5">
      <c r="B5" s="1">
        <v>30.0</v>
      </c>
      <c r="C5" s="4" t="str">
        <f>'Day 1'!D5</f>
        <v>Shang-Hua Yang</v>
      </c>
      <c r="D5" s="4" t="str">
        <f>'Day 1'!E5</f>
        <v>THz Compressive Optical-Digital Neural Network</v>
      </c>
    </row>
    <row r="6">
      <c r="B6" s="1">
        <v>30.0</v>
      </c>
      <c r="C6" s="4" t="str">
        <f>'Day 1'!D7</f>
        <v>Hideaki Kitahara</v>
      </c>
      <c r="D6" s="4" t="str">
        <f>'Day 1'!E7</f>
        <v>Measurement of Dielectric Loss Tangent for Low Loss Plastics by Terahertz Time-domain Spectroscopy II</v>
      </c>
    </row>
    <row r="7">
      <c r="B7" s="1">
        <v>30.0</v>
      </c>
      <c r="C7" s="4" t="str">
        <f>'Day 1'!D8</f>
        <v>Yu-Han Hung</v>
      </c>
      <c r="D7" s="4" t="str">
        <f>'Day 1'!E8</f>
        <v>Cascaded-Injection-Locked Optical Frequency Combs for DAS Applications in ISAC Systems</v>
      </c>
    </row>
    <row r="8">
      <c r="B8" s="1">
        <v>40.0</v>
      </c>
      <c r="C8" s="4" t="str">
        <f>'Day 1'!D9</f>
        <v/>
      </c>
      <c r="D8" s="4" t="str">
        <f>'Day 1'!E9</f>
        <v>Lunch</v>
      </c>
    </row>
    <row r="9">
      <c r="B9" s="1">
        <v>30.0</v>
      </c>
      <c r="C9" s="4" t="str">
        <f>'Day 1'!D10</f>
        <v>Masafumi Fukunari</v>
      </c>
      <c r="D9" s="4" t="str">
        <f>'Day 1'!E10</f>
        <v>Development of High-Frequency Gyrotrons for Biological Exposure Applications and Design of a 750 GHz Gyrotron</v>
      </c>
    </row>
    <row r="10">
      <c r="B10" s="1">
        <v>30.0</v>
      </c>
      <c r="C10" s="4" t="str">
        <f t="shared" ref="C10:D10" si="1">#REF!</f>
        <v>#REF!</v>
      </c>
      <c r="D10" s="4" t="str">
        <f t="shared" si="1"/>
        <v>#REF!</v>
      </c>
    </row>
    <row r="11">
      <c r="C11" s="4" t="str">
        <f>'Day 1'!D15</f>
        <v/>
      </c>
      <c r="D11" s="4" t="str">
        <f>'Day 1'!E15</f>
        <v>Break</v>
      </c>
    </row>
    <row r="12">
      <c r="C12" s="4" t="str">
        <f>'Day 1'!D11</f>
        <v>Ming Chang Chou</v>
      </c>
      <c r="D12" s="4" t="str">
        <f>'Day 1'!E11</f>
        <v>NSRRC Superradiant THz Free Electron Lasers Developed for User Applications</v>
      </c>
    </row>
    <row r="13">
      <c r="C13" s="4" t="str">
        <f t="shared" ref="C13:D13" si="2">#REF!</f>
        <v>#REF!</v>
      </c>
      <c r="D13" s="4" t="str">
        <f t="shared" si="2"/>
        <v>#REF!</v>
      </c>
    </row>
    <row r="14">
      <c r="C14" s="4" t="str">
        <f>'Day 1'!D12</f>
        <v/>
      </c>
      <c r="D14" s="4" t="str">
        <f>'Day 1'!E12</f>
        <v>Break</v>
      </c>
    </row>
    <row r="15">
      <c r="C15" s="4" t="str">
        <f>'Day 1'!D16</f>
        <v>Lab tour</v>
      </c>
      <c r="D15" s="4" t="str">
        <f>'Day 1'!E16</f>
        <v>Lab tour</v>
      </c>
    </row>
    <row r="16">
      <c r="C16" s="4" t="str">
        <f>'Day 1'!D17</f>
        <v>Travel to Banquet venue</v>
      </c>
      <c r="D16" s="4" t="str">
        <f>'Day 1'!E17</f>
        <v>Travel to Banquet venue</v>
      </c>
    </row>
    <row r="17">
      <c r="C17" s="4" t="str">
        <f>'Day 1'!D18</f>
        <v>Banquet is at 18:00</v>
      </c>
      <c r="D17" s="4" t="str">
        <f>'Day 1'!E18</f>
        <v>Banquet at 上菜 片皮鴨專賣店 高雄夢時代店6樓</v>
      </c>
    </row>
    <row r="18">
      <c r="C18" s="4" t="str">
        <f>'Day 1'!D19</f>
        <v/>
      </c>
      <c r="D18" s="4" t="str">
        <f>'Day 1'!E19</f>
        <v/>
      </c>
    </row>
    <row r="19">
      <c r="C19" s="4" t="str">
        <f>'Day 1'!D20</f>
        <v/>
      </c>
      <c r="D19" s="4" t="str">
        <f>'Day 1'!E20</f>
        <v/>
      </c>
    </row>
    <row r="20">
      <c r="C20" s="4" t="str">
        <f>'Day 1'!D21</f>
        <v/>
      </c>
      <c r="D20" s="4" t="str">
        <f>'Day 1'!E21</f>
        <v/>
      </c>
    </row>
  </sheetData>
  <drawing r:id="rId1"/>
</worksheet>
</file>